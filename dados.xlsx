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sson.arruda\Downloads\Trabalho\Contingenciamento\"/>
    </mc:Choice>
  </mc:AlternateContent>
  <xr:revisionPtr revIDLastSave="0" documentId="13_ncr:1_{27E0FBF3-861A-40E6-A12B-D0721979F89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91029"/>
</workbook>
</file>

<file path=xl/calcChain.xml><?xml version="1.0" encoding="utf-8"?>
<calcChain xmlns="http://schemas.openxmlformats.org/spreadsheetml/2006/main">
  <c r="B4" i="1" l="1"/>
  <c r="B15" i="1" s="1"/>
  <c r="L20" i="1"/>
  <c r="L21" i="1"/>
  <c r="L22" i="1"/>
  <c r="L23" i="1"/>
  <c r="L24" i="1"/>
  <c r="L19" i="1"/>
  <c r="L6" i="1"/>
  <c r="L7" i="1"/>
  <c r="L8" i="1"/>
  <c r="L9" i="1"/>
  <c r="L10" i="1"/>
  <c r="L5" i="1"/>
  <c r="B84" i="1"/>
  <c r="B85" i="1"/>
  <c r="B86" i="1"/>
  <c r="B87" i="1"/>
  <c r="B88" i="1"/>
  <c r="B89" i="1"/>
  <c r="B90" i="1"/>
  <c r="B91" i="1"/>
  <c r="B92" i="1"/>
  <c r="B93" i="1"/>
  <c r="B83" i="1"/>
  <c r="B68" i="1"/>
  <c r="B69" i="1"/>
  <c r="B70" i="1"/>
  <c r="B71" i="1"/>
  <c r="B72" i="1"/>
  <c r="B73" i="1"/>
  <c r="B74" i="1"/>
  <c r="B75" i="1"/>
  <c r="B76" i="1"/>
  <c r="B77" i="1"/>
  <c r="B67" i="1"/>
  <c r="B78" i="1" s="1"/>
  <c r="B52" i="1"/>
  <c r="B53" i="1"/>
  <c r="B54" i="1"/>
  <c r="B55" i="1"/>
  <c r="B56" i="1"/>
  <c r="B57" i="1"/>
  <c r="B58" i="1"/>
  <c r="B59" i="1"/>
  <c r="B60" i="1"/>
  <c r="B61" i="1"/>
  <c r="B51" i="1"/>
  <c r="B36" i="1"/>
  <c r="B37" i="1"/>
  <c r="B38" i="1"/>
  <c r="B39" i="1"/>
  <c r="B40" i="1"/>
  <c r="B41" i="1"/>
  <c r="B42" i="1"/>
  <c r="B43" i="1"/>
  <c r="B44" i="1"/>
  <c r="B45" i="1"/>
  <c r="B35" i="1"/>
  <c r="B46" i="1" s="1"/>
  <c r="B20" i="1"/>
  <c r="B21" i="1"/>
  <c r="B22" i="1"/>
  <c r="B23" i="1"/>
  <c r="B24" i="1"/>
  <c r="B25" i="1"/>
  <c r="B26" i="1"/>
  <c r="B27" i="1"/>
  <c r="B28" i="1"/>
  <c r="B29" i="1"/>
  <c r="B19" i="1"/>
  <c r="B5" i="1"/>
  <c r="B6" i="1"/>
  <c r="B7" i="1"/>
  <c r="B8" i="1"/>
  <c r="B9" i="1"/>
  <c r="B10" i="1"/>
  <c r="B11" i="1"/>
  <c r="B12" i="1"/>
  <c r="B13" i="1"/>
  <c r="B14" i="1"/>
  <c r="B62" i="1"/>
  <c r="B30" i="1"/>
  <c r="B94" i="1"/>
  <c r="H23" i="1" l="1"/>
</calcChain>
</file>

<file path=xl/sharedStrings.xml><?xml version="1.0" encoding="utf-8"?>
<sst xmlns="http://schemas.openxmlformats.org/spreadsheetml/2006/main" count="101" uniqueCount="28">
  <si>
    <t>BANCO BARI - AÇÕES PASSIVAS</t>
  </si>
  <si>
    <t>ESCRITÓRIO</t>
  </si>
  <si>
    <t>AÇÕES PASSIVAS</t>
  </si>
  <si>
    <t>VERNALHA PEREIRA</t>
  </si>
  <si>
    <t>PRODUTO</t>
  </si>
  <si>
    <t>ADVOCACIA SCHMITZ</t>
  </si>
  <si>
    <t>CRÉDITO IMOBILIÁRIO</t>
  </si>
  <si>
    <t>JHONATAN DE SOUZA SILVA SOCIEDADE INDIVIDUAL DE ADVOCACIA</t>
  </si>
  <si>
    <t>CRÉDITO CONSIGNADO</t>
  </si>
  <si>
    <t>OLIVEIRA PINTO E ADVOGADOS ASSOCIADOS</t>
  </si>
  <si>
    <t>CONTA CORRENTE</t>
  </si>
  <si>
    <t>GABARDO E TERRA</t>
  </si>
  <si>
    <t>CARTÃO DE CRÉDITO</t>
  </si>
  <si>
    <t>R. MENDONÇA SOCIEDADE DE ADVOGADOS</t>
  </si>
  <si>
    <t>TRIBUTÁRIO</t>
  </si>
  <si>
    <t>COBRANÇA</t>
  </si>
  <si>
    <t>NELSON WILIANS ADVOGADOS</t>
  </si>
  <si>
    <t>JURÍDICO INTERNO</t>
  </si>
  <si>
    <t>TOTAL</t>
  </si>
  <si>
    <t>BANCO BARI - AÇÕES ATIVAS</t>
  </si>
  <si>
    <t>AÇÕES ATIVAS</t>
  </si>
  <si>
    <t>HIPOTECÁRIA - AÇÕES PASSIVAS</t>
  </si>
  <si>
    <t>HIPOTECÁRIA - AÇÕES ATIVAS</t>
  </si>
  <si>
    <t>SECURITIZADORA - AÇÕES ATIVAS</t>
  </si>
  <si>
    <t>Maran, Gehlen &amp; Advogados Associados</t>
  </si>
  <si>
    <t>SECURITIZADORA - AÇÕES PASSIVAS</t>
  </si>
  <si>
    <t>FILLA E MUNHOZ DA ROCHA ADVOGADOS ASSOCIADOS</t>
  </si>
  <si>
    <t>Ferriani, Jamal, Fornazari, Sartori &amp; Sanchez Advogados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</si>
</sst>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/>
      <top style="thin">
        <color rgb="FFC6C6C6"/>
      </top>
      <bottom style="thin">
        <color rgb="FF000000"/>
      </bottom>
      <diagonal/>
    </border>
  </borders>
  <cellStyleXfs count="1">
    <xf numFmtId="0" fontId="0" fillId="0" borderId="2"/>
  </cellStyleXfs>
  <cellXfs count="27"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/>
    <xf numFmtId="0" fontId="2" fillId="2" borderId="3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3" fontId="3" fillId="0" borderId="2" xfId="0" applyNumberFormat="1" applyFont="1" applyAlignment="1">
      <alignment horizontal="center"/>
    </xf>
    <xf numFmtId="0" fontId="8" fillId="0" borderId="0" xfId="0" applyFont="1" applyBorder="1"/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7" xfId="0" applyBorder="1"/>
    <xf numFmtId="0" fontId="4" fillId="2" borderId="4" xfId="0" applyFont="1" applyFill="1" applyBorder="1" applyAlignment="1">
      <alignment horizontal="center"/>
    </xf>
    <xf numFmtId="0" fontId="0" fillId="0" borderId="8" xfId="0" applyBorder="1"/>
    <xf numFmtId="0" fontId="2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CO%20-%20PASSIVA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IPO%20-%20PASSIVA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%20-%20PASSIVA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CO%20-%20ATIVA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IPO%20-%20ATIVA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%20-%20ATIV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- PASSIV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PO - PASSIVA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- PASSIVA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- ATIVA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PO - ATIVA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 - ATIVA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94"/>
  <sheetViews>
    <sheetView tabSelected="1" workbookViewId="0">
      <selection activeCell="E9" sqref="E9"/>
    </sheetView>
  </sheetViews>
  <sheetFormatPr defaultRowHeight="15" x14ac:dyDescent="0.25"/>
  <cols>
    <col min="1" max="1" width="56.42578125" style="2" bestFit="1" customWidth="1"/>
    <col min="2" max="2" width="24.85546875" style="1" bestFit="1" customWidth="1"/>
    <col min="3" max="7" width="13.5703125" bestFit="1" customWidth="1"/>
    <col min="8" max="8" width="13.5703125" style="3" bestFit="1" customWidth="1"/>
    <col min="9" max="10" width="13.5703125" bestFit="1" customWidth="1"/>
    <col min="11" max="11" width="26.7109375" bestFit="1" customWidth="1"/>
    <col min="12" max="12" width="16.28515625" style="3" bestFit="1" customWidth="1"/>
  </cols>
  <sheetData>
    <row r="1" spans="1:12" ht="18.75" customHeight="1" x14ac:dyDescent="0.25"/>
    <row r="2" spans="1:12" ht="18.75" customHeight="1" x14ac:dyDescent="0.25">
      <c r="A2" s="21" t="s">
        <v>0</v>
      </c>
      <c r="B2" s="22"/>
    </row>
    <row r="3" spans="1:12" ht="19.5" customHeight="1" x14ac:dyDescent="0.25">
      <c r="A3" s="6" t="s">
        <v>1</v>
      </c>
      <c r="B3" s="7"/>
      <c r="K3" s="23" t="s">
        <v>2</v>
      </c>
      <c r="L3" s="24"/>
    </row>
    <row r="4" spans="1:12" ht="19.5" customHeight="1" x14ac:dyDescent="0.25">
      <c r="A4" s="8" t="s">
        <v>3</v>
      </c>
      <c r="B4" s="9" t="e">
        <f>COUNTIF('[1]BANCO - PASSIVAS'!A:A,DADOS!A4)</f>
        <v>#VALUE!</v>
      </c>
      <c r="K4" s="10" t="s">
        <v>4</v>
      </c>
      <c r="L4" s="11"/>
    </row>
    <row r="5" spans="1:12" ht="18.75" customHeight="1" x14ac:dyDescent="0.25">
      <c r="A5" s="12" t="s">
        <v>5</v>
      </c>
      <c r="B5" s="9" t="e">
        <f>COUNTIF('[1]BANCO - PASSIVAS'!A:A,DADOS!A5)</f>
        <v>#VALUE!</v>
      </c>
      <c r="K5" s="13" t="s">
        <v>6</v>
      </c>
      <c r="L5" s="9" t="e">
        <f>COUNTIF('[1]BANCO - PASSIVAS'!U:U,DADOS!K5) + COUNTIF('[2]HIPO - PASSIVAS'!U:U,DADOS!K5) + COUNTIF('[3]SEC - PASSIVAS'!V:V,DADOS!K5)</f>
        <v>#VALUE!</v>
      </c>
    </row>
    <row r="6" spans="1:12" ht="18.75" customHeight="1" x14ac:dyDescent="0.25">
      <c r="A6" s="12" t="s">
        <v>7</v>
      </c>
      <c r="B6" s="9" t="e">
        <f>COUNTIF('[1]BANCO - PASSIVAS'!A:A,DADOS!A6)</f>
        <v>#VALUE!</v>
      </c>
      <c r="K6" s="13" t="s">
        <v>8</v>
      </c>
      <c r="L6" s="9" t="e">
        <f>COUNTIF('[1]BANCO - PASSIVAS'!U:U,DADOS!K6) + COUNTIF('[2]HIPO - PASSIVAS'!U:U,DADOS!K6) + COUNTIF('[3]SEC - PASSIVAS'!V:V,DADOS!K6)</f>
        <v>#VALUE!</v>
      </c>
    </row>
    <row r="7" spans="1:12" ht="18.75" customHeight="1" x14ac:dyDescent="0.25">
      <c r="A7" s="12" t="s">
        <v>9</v>
      </c>
      <c r="B7" s="9" t="e">
        <f>COUNTIF('[1]BANCO - PASSIVAS'!A:A,DADOS!A7)</f>
        <v>#VALUE!</v>
      </c>
      <c r="K7" s="13" t="s">
        <v>10</v>
      </c>
      <c r="L7" s="9" t="e">
        <f>COUNTIF('[1]BANCO - PASSIVAS'!U:U,DADOS!K7) + COUNTIF('[2]HIPO - PASSIVAS'!U:U,DADOS!K7) + COUNTIF('[3]SEC - PASSIVAS'!V:V,DADOS!K7)</f>
        <v>#VALUE!</v>
      </c>
    </row>
    <row r="8" spans="1:12" ht="18.75" customHeight="1" x14ac:dyDescent="0.25">
      <c r="A8" s="12" t="s">
        <v>11</v>
      </c>
      <c r="B8" s="9" t="e">
        <f>COUNTIF('[1]BANCO - PASSIVAS'!A:A,DADOS!A8)</f>
        <v>#VALUE!</v>
      </c>
      <c r="K8" s="13" t="s">
        <v>12</v>
      </c>
      <c r="L8" s="9" t="e">
        <f>COUNTIF('[1]BANCO - PASSIVAS'!U:U,DADOS!K8) + COUNTIF('[2]HIPO - PASSIVAS'!U:U,DADOS!K8) + COUNTIF('[3]SEC - PASSIVAS'!V:V,DADOS!K8)</f>
        <v>#VALUE!</v>
      </c>
    </row>
    <row r="9" spans="1:12" ht="18.75" customHeight="1" x14ac:dyDescent="0.25">
      <c r="A9" s="12" t="s">
        <v>13</v>
      </c>
      <c r="B9" s="9" t="e">
        <f>COUNTIF('[1]BANCO - PASSIVAS'!A:A,DADOS!A9)</f>
        <v>#VALUE!</v>
      </c>
      <c r="K9" s="13" t="s">
        <v>14</v>
      </c>
      <c r="L9" s="9" t="e">
        <f>COUNTIF('[1]BANCO - PASSIVAS'!U:U,DADOS!K9) + COUNTIF('[2]HIPO - PASSIVAS'!U:U,DADOS!K9) + COUNTIF('[3]SEC - PASSIVAS'!V:V,DADOS!K9)</f>
        <v>#VALUE!</v>
      </c>
    </row>
    <row r="10" spans="1:12" ht="19.5" customHeight="1" x14ac:dyDescent="0.25">
      <c r="A10" s="14" t="s">
        <v>27</v>
      </c>
      <c r="B10" s="9" t="e">
        <f>COUNTIF('[1]BANCO - PASSIVAS'!A:A,DADOS!A10)</f>
        <v>#VALUE!</v>
      </c>
      <c r="K10" s="13" t="s">
        <v>15</v>
      </c>
      <c r="L10" s="9" t="e">
        <f>COUNTIF('[1]BANCO - PASSIVAS'!U:U,DADOS!K10) + COUNTIF('[2]HIPO - PASSIVAS'!U:U,DADOS!K10) + COUNTIF('[3]SEC - PASSIVAS'!V:V,DADOS!K10)</f>
        <v>#VALUE!</v>
      </c>
    </row>
    <row r="11" spans="1:12" ht="18.75" customHeight="1" x14ac:dyDescent="0.25">
      <c r="A11" s="12" t="s">
        <v>16</v>
      </c>
      <c r="B11" s="9" t="e">
        <f>COUNTIF('[1]BANCO - PASSIVAS'!A:A,DADOS!A11)</f>
        <v>#VALUE!</v>
      </c>
    </row>
    <row r="12" spans="1:12" ht="20.25" customHeight="1" x14ac:dyDescent="0.25">
      <c r="A12" s="15" t="s">
        <v>17</v>
      </c>
      <c r="B12" s="9" t="e">
        <f>COUNTIF('[1]BANCO - PASSIVAS'!A:A,DADOS!A12)</f>
        <v>#VALUE!</v>
      </c>
    </row>
    <row r="13" spans="1:12" ht="19.5" customHeight="1" x14ac:dyDescent="0.25">
      <c r="A13" s="15" t="s">
        <v>24</v>
      </c>
      <c r="B13" s="9" t="e">
        <f>COUNTIF('[1]BANCO - PASSIVAS'!A:A,DADOS!A13)</f>
        <v>#VALUE!</v>
      </c>
    </row>
    <row r="14" spans="1:12" ht="18.75" customHeight="1" x14ac:dyDescent="0.25">
      <c r="A14" s="15" t="s">
        <v>26</v>
      </c>
      <c r="B14" s="9" t="e">
        <f>COUNTIF('[1]BANCO - PASSIVAS'!A:A,DADOS!A14)</f>
        <v>#VALUE!</v>
      </c>
    </row>
    <row r="15" spans="1:12" ht="18.75" customHeight="1" x14ac:dyDescent="0.25">
      <c r="A15" s="16" t="s">
        <v>18</v>
      </c>
      <c r="B15" s="5" t="e">
        <f>SUM(B4:B14)</f>
        <v>#VALUE!</v>
      </c>
    </row>
    <row r="16" spans="1:12" ht="18.75" customHeight="1" x14ac:dyDescent="0.25"/>
    <row r="17" spans="1:12" ht="19.5" customHeight="1" x14ac:dyDescent="0.25">
      <c r="A17" s="21" t="s">
        <v>19</v>
      </c>
      <c r="B17" s="22"/>
      <c r="K17" s="23" t="s">
        <v>20</v>
      </c>
      <c r="L17" s="24"/>
    </row>
    <row r="18" spans="1:12" ht="19.5" customHeight="1" x14ac:dyDescent="0.25">
      <c r="A18" s="6" t="s">
        <v>1</v>
      </c>
      <c r="B18" s="7"/>
      <c r="K18" s="10" t="s">
        <v>4</v>
      </c>
      <c r="L18" s="11"/>
    </row>
    <row r="19" spans="1:12" ht="18.75" customHeight="1" x14ac:dyDescent="0.25">
      <c r="A19" s="8" t="s">
        <v>3</v>
      </c>
      <c r="B19" s="9" t="e">
        <f>COUNTIF('[4]BANCO - ATIVAS'!A:A,DADOS!A19)</f>
        <v>#VALUE!</v>
      </c>
      <c r="K19" s="13" t="s">
        <v>6</v>
      </c>
      <c r="L19" s="9" t="e">
        <f>COUNTIF('[4]BANCO - ATIVAS'!V:V,DADOS!K19) + COUNTIF('[5]HIPO - ATIVAS'!V:V,DADOS!K19) +  COUNTIF('[6]SEC - ATIVAS'!W:W,DADOS!K19)</f>
        <v>#VALUE!</v>
      </c>
    </row>
    <row r="20" spans="1:12" ht="18.75" customHeight="1" x14ac:dyDescent="0.25">
      <c r="A20" s="12" t="s">
        <v>5</v>
      </c>
      <c r="B20" s="9" t="e">
        <f>COUNTIF('[4]BANCO - ATIVAS'!A:A,DADOS!A20)</f>
        <v>#VALUE!</v>
      </c>
      <c r="K20" s="13" t="s">
        <v>8</v>
      </c>
      <c r="L20" s="9" t="e">
        <f>COUNTIF('[4]BANCO - ATIVAS'!V:V,DADOS!K20) + COUNTIF('[5]HIPO - ATIVAS'!V:V,DADOS!K20) +  COUNTIF('[6]SEC - ATIVAS'!W:W,DADOS!K20)</f>
        <v>#VALUE!</v>
      </c>
    </row>
    <row r="21" spans="1:12" ht="18.75" customHeight="1" x14ac:dyDescent="0.25">
      <c r="A21" s="12" t="s">
        <v>7</v>
      </c>
      <c r="B21" s="9" t="e">
        <f>COUNTIF('[4]BANCO - ATIVAS'!A:A,DADOS!A21)</f>
        <v>#VALUE!</v>
      </c>
      <c r="K21" s="13" t="s">
        <v>10</v>
      </c>
      <c r="L21" s="9" t="e">
        <f>COUNTIF('[4]BANCO - ATIVAS'!V:V,DADOS!K21) + COUNTIF('[5]HIPO - ATIVAS'!V:V,DADOS!K21) +  COUNTIF('[6]SEC - ATIVAS'!W:W,DADOS!K21)</f>
        <v>#VALUE!</v>
      </c>
    </row>
    <row r="22" spans="1:12" ht="18.75" customHeight="1" x14ac:dyDescent="0.25">
      <c r="A22" s="12" t="s">
        <v>9</v>
      </c>
      <c r="B22" s="9" t="e">
        <f>COUNTIF('[4]BANCO - ATIVAS'!A:A,DADOS!A22)</f>
        <v>#VALUE!</v>
      </c>
      <c r="K22" s="13" t="s">
        <v>12</v>
      </c>
      <c r="L22" s="9" t="e">
        <f>COUNTIF('[4]BANCO - ATIVAS'!V:V,DADOS!K22) + COUNTIF('[5]HIPO - ATIVAS'!V:V,DADOS!K22) +  COUNTIF('[6]SEC - ATIVAS'!W:W,DADOS!K22)</f>
        <v>#VALUE!</v>
      </c>
    </row>
    <row r="23" spans="1:12" ht="18.75" customHeight="1" x14ac:dyDescent="0.25">
      <c r="A23" s="12" t="s">
        <v>11</v>
      </c>
      <c r="B23" s="9" t="e">
        <f>COUNTIF('[4]BANCO - ATIVAS'!A:A,DADOS!A23)</f>
        <v>#VALUE!</v>
      </c>
      <c r="G23" s="4" t="s">
        <v>18</v>
      </c>
      <c r="H23" s="17" t="e">
        <f>B15+B30+B46+B62+B78+B94</f>
        <v>#VALUE!</v>
      </c>
      <c r="K23" s="13" t="s">
        <v>14</v>
      </c>
      <c r="L23" s="9" t="e">
        <f>COUNTIF('[4]BANCO - ATIVAS'!V:V,DADOS!K23) + COUNTIF('[5]HIPO - ATIVAS'!V:V,DADOS!K23) +  COUNTIF('[6]SEC - ATIVAS'!W:W,DADOS!K23)</f>
        <v>#VALUE!</v>
      </c>
    </row>
    <row r="24" spans="1:12" ht="18.75" customHeight="1" x14ac:dyDescent="0.25">
      <c r="A24" s="12" t="s">
        <v>13</v>
      </c>
      <c r="B24" s="9" t="e">
        <f>COUNTIF('[4]BANCO - ATIVAS'!A:A,DADOS!A24)</f>
        <v>#VALUE!</v>
      </c>
      <c r="K24" s="13" t="s">
        <v>15</v>
      </c>
      <c r="L24" s="9" t="e">
        <f>COUNTIF('[4]BANCO - ATIVAS'!V:V,DADOS!K24) + COUNTIF('[5]HIPO - ATIVAS'!V:V,DADOS!K24) +  COUNTIF('[6]SEC - ATIVAS'!W:W,DADOS!K24)</f>
        <v>#VALUE!</v>
      </c>
    </row>
    <row r="25" spans="1:12" ht="18.75" customHeight="1" x14ac:dyDescent="0.25">
      <c r="A25" s="14" t="s">
        <v>27</v>
      </c>
      <c r="B25" s="9" t="e">
        <f>COUNTIF('[4]BANCO - ATIVAS'!A:A,DADOS!A25)</f>
        <v>#VALUE!</v>
      </c>
    </row>
    <row r="26" spans="1:12" ht="18.75" customHeight="1" x14ac:dyDescent="0.25">
      <c r="A26" s="12" t="s">
        <v>16</v>
      </c>
      <c r="B26" s="9" t="e">
        <f>COUNTIF('[4]BANCO - ATIVAS'!A:A,DADOS!A26)</f>
        <v>#VALUE!</v>
      </c>
    </row>
    <row r="27" spans="1:12" ht="18.75" customHeight="1" x14ac:dyDescent="0.25">
      <c r="A27" s="15" t="s">
        <v>17</v>
      </c>
      <c r="B27" s="9" t="e">
        <f>COUNTIF('[4]BANCO - ATIVAS'!A:A,DADOS!A27)</f>
        <v>#VALUE!</v>
      </c>
    </row>
    <row r="28" spans="1:12" ht="18.75" customHeight="1" x14ac:dyDescent="0.25">
      <c r="A28" s="15" t="s">
        <v>24</v>
      </c>
      <c r="B28" s="9" t="e">
        <f>COUNTIF('[4]BANCO - ATIVAS'!A:A,DADOS!A28)</f>
        <v>#VALUE!</v>
      </c>
    </row>
    <row r="29" spans="1:12" ht="18.75" customHeight="1" x14ac:dyDescent="0.25">
      <c r="A29" s="15" t="s">
        <v>26</v>
      </c>
      <c r="B29" s="9" t="e">
        <f>COUNTIF('[4]BANCO - ATIVAS'!A:A,DADOS!A29)</f>
        <v>#VALUE!</v>
      </c>
      <c r="C29" s="18"/>
    </row>
    <row r="30" spans="1:12" ht="18.75" customHeight="1" x14ac:dyDescent="0.25">
      <c r="A30" s="16" t="s">
        <v>18</v>
      </c>
      <c r="B30" s="5" t="e">
        <f>SUM(B19:B29)</f>
        <v>#VALUE!</v>
      </c>
    </row>
    <row r="31" spans="1:12" ht="18.75" customHeight="1" x14ac:dyDescent="0.25"/>
    <row r="32" spans="1:12" ht="18.75" customHeight="1" x14ac:dyDescent="0.25"/>
    <row r="33" spans="1:2" ht="18.75" customHeight="1" x14ac:dyDescent="0.25">
      <c r="A33" s="25" t="s">
        <v>21</v>
      </c>
      <c r="B33" s="26"/>
    </row>
    <row r="34" spans="1:2" ht="18.75" customHeight="1" x14ac:dyDescent="0.25">
      <c r="A34" s="6" t="s">
        <v>1</v>
      </c>
      <c r="B34" s="7"/>
    </row>
    <row r="35" spans="1:2" ht="18.75" customHeight="1" x14ac:dyDescent="0.25">
      <c r="A35" s="8" t="s">
        <v>3</v>
      </c>
      <c r="B35" s="9" t="e">
        <f>COUNTIF('[2]HIPO - PASSIVAS'!A:A,DADOS!A35)</f>
        <v>#VALUE!</v>
      </c>
    </row>
    <row r="36" spans="1:2" ht="18.75" customHeight="1" x14ac:dyDescent="0.25">
      <c r="A36" s="12" t="s">
        <v>5</v>
      </c>
      <c r="B36" s="9" t="e">
        <f>COUNTIF('[2]HIPO - PASSIVAS'!A:A,DADOS!A36)</f>
        <v>#VALUE!</v>
      </c>
    </row>
    <row r="37" spans="1:2" ht="18.75" customHeight="1" x14ac:dyDescent="0.25">
      <c r="A37" s="12" t="s">
        <v>7</v>
      </c>
      <c r="B37" s="9" t="e">
        <f>COUNTIF('[2]HIPO - PASSIVAS'!A:A,DADOS!A37)</f>
        <v>#VALUE!</v>
      </c>
    </row>
    <row r="38" spans="1:2" ht="18.75" customHeight="1" x14ac:dyDescent="0.25">
      <c r="A38" s="12" t="s">
        <v>9</v>
      </c>
      <c r="B38" s="9" t="e">
        <f>COUNTIF('[2]HIPO - PASSIVAS'!A:A,DADOS!A38)</f>
        <v>#VALUE!</v>
      </c>
    </row>
    <row r="39" spans="1:2" ht="18.75" customHeight="1" x14ac:dyDescent="0.25">
      <c r="A39" s="12" t="s">
        <v>11</v>
      </c>
      <c r="B39" s="9" t="e">
        <f>COUNTIF('[2]HIPO - PASSIVAS'!A:A,DADOS!A39)</f>
        <v>#VALUE!</v>
      </c>
    </row>
    <row r="40" spans="1:2" ht="18.75" customHeight="1" x14ac:dyDescent="0.25">
      <c r="A40" s="12" t="s">
        <v>13</v>
      </c>
      <c r="B40" s="9" t="e">
        <f>COUNTIF('[2]HIPO - PASSIVAS'!A:A,DADOS!A40)</f>
        <v>#VALUE!</v>
      </c>
    </row>
    <row r="41" spans="1:2" ht="18.75" customHeight="1" x14ac:dyDescent="0.25">
      <c r="A41" s="14" t="s">
        <v>27</v>
      </c>
      <c r="B41" s="9" t="e">
        <f>COUNTIF('[2]HIPO - PASSIVAS'!A:A,DADOS!A41)</f>
        <v>#VALUE!</v>
      </c>
    </row>
    <row r="42" spans="1:2" ht="18.75" customHeight="1" x14ac:dyDescent="0.25">
      <c r="A42" s="12" t="s">
        <v>16</v>
      </c>
      <c r="B42" s="9" t="e">
        <f>COUNTIF('[2]HIPO - PASSIVAS'!A:A,DADOS!A42)</f>
        <v>#VALUE!</v>
      </c>
    </row>
    <row r="43" spans="1:2" ht="18.75" customHeight="1" x14ac:dyDescent="0.25">
      <c r="A43" s="15" t="s">
        <v>17</v>
      </c>
      <c r="B43" s="9" t="e">
        <f>COUNTIF('[2]HIPO - PASSIVAS'!A:A,DADOS!A43)</f>
        <v>#VALUE!</v>
      </c>
    </row>
    <row r="44" spans="1:2" ht="18.75" customHeight="1" x14ac:dyDescent="0.25">
      <c r="A44" s="15" t="s">
        <v>24</v>
      </c>
      <c r="B44" s="9" t="e">
        <f>COUNTIF('[2]HIPO - PASSIVAS'!A:A,DADOS!A44)</f>
        <v>#VALUE!</v>
      </c>
    </row>
    <row r="45" spans="1:2" ht="18.75" customHeight="1" x14ac:dyDescent="0.25">
      <c r="A45" s="15" t="s">
        <v>26</v>
      </c>
      <c r="B45" s="9" t="e">
        <f>COUNTIF('[2]HIPO - PASSIVAS'!A:A,DADOS!A45)</f>
        <v>#VALUE!</v>
      </c>
    </row>
    <row r="46" spans="1:2" ht="18.75" customHeight="1" x14ac:dyDescent="0.25">
      <c r="A46" s="16" t="s">
        <v>18</v>
      </c>
      <c r="B46" s="5" t="e">
        <f>SUM(B35:B45)</f>
        <v>#VALUE!</v>
      </c>
    </row>
    <row r="47" spans="1:2" ht="18.75" customHeight="1" x14ac:dyDescent="0.25"/>
    <row r="48" spans="1:2" ht="18.75" customHeight="1" x14ac:dyDescent="0.25"/>
    <row r="49" spans="1:2" ht="18.75" customHeight="1" x14ac:dyDescent="0.25">
      <c r="A49" s="19" t="s">
        <v>22</v>
      </c>
      <c r="B49" s="20"/>
    </row>
    <row r="50" spans="1:2" ht="18.75" customHeight="1" x14ac:dyDescent="0.25">
      <c r="A50" s="6" t="s">
        <v>1</v>
      </c>
      <c r="B50" s="7"/>
    </row>
    <row r="51" spans="1:2" ht="18.75" customHeight="1" x14ac:dyDescent="0.25">
      <c r="A51" s="8" t="s">
        <v>3</v>
      </c>
      <c r="B51" s="9" t="e">
        <f>COUNTIF('[5]HIPO - ATIVAS'!A:A,DADOS!A51)</f>
        <v>#VALUE!</v>
      </c>
    </row>
    <row r="52" spans="1:2" ht="18.75" customHeight="1" x14ac:dyDescent="0.25">
      <c r="A52" s="12" t="s">
        <v>5</v>
      </c>
      <c r="B52" s="9" t="e">
        <f>COUNTIF('[5]HIPO - ATIVAS'!A:A,DADOS!A52)</f>
        <v>#VALUE!</v>
      </c>
    </row>
    <row r="53" spans="1:2" ht="18.75" customHeight="1" x14ac:dyDescent="0.25">
      <c r="A53" s="12" t="s">
        <v>7</v>
      </c>
      <c r="B53" s="9" t="e">
        <f>COUNTIF('[5]HIPO - ATIVAS'!A:A,DADOS!A53)</f>
        <v>#VALUE!</v>
      </c>
    </row>
    <row r="54" spans="1:2" ht="18.75" customHeight="1" x14ac:dyDescent="0.25">
      <c r="A54" s="12" t="s">
        <v>9</v>
      </c>
      <c r="B54" s="9" t="e">
        <f>COUNTIF('[5]HIPO - ATIVAS'!A:A,DADOS!A54)</f>
        <v>#VALUE!</v>
      </c>
    </row>
    <row r="55" spans="1:2" ht="18.75" customHeight="1" x14ac:dyDescent="0.25">
      <c r="A55" s="12" t="s">
        <v>11</v>
      </c>
      <c r="B55" s="9" t="e">
        <f>COUNTIF('[5]HIPO - ATIVAS'!A:A,DADOS!A55)</f>
        <v>#VALUE!</v>
      </c>
    </row>
    <row r="56" spans="1:2" ht="18.75" customHeight="1" x14ac:dyDescent="0.25">
      <c r="A56" s="12" t="s">
        <v>13</v>
      </c>
      <c r="B56" s="9" t="e">
        <f>COUNTIF('[5]HIPO - ATIVAS'!A:A,DADOS!A56)</f>
        <v>#VALUE!</v>
      </c>
    </row>
    <row r="57" spans="1:2" ht="18.75" customHeight="1" x14ac:dyDescent="0.25">
      <c r="A57" s="14" t="s">
        <v>27</v>
      </c>
      <c r="B57" s="9" t="e">
        <f>COUNTIF('[5]HIPO - ATIVAS'!A:A,DADOS!A57)</f>
        <v>#VALUE!</v>
      </c>
    </row>
    <row r="58" spans="1:2" ht="18.75" customHeight="1" x14ac:dyDescent="0.25">
      <c r="A58" s="12" t="s">
        <v>16</v>
      </c>
      <c r="B58" s="9" t="e">
        <f>COUNTIF('[5]HIPO - ATIVAS'!A:A,DADOS!A58)</f>
        <v>#VALUE!</v>
      </c>
    </row>
    <row r="59" spans="1:2" ht="18.75" customHeight="1" x14ac:dyDescent="0.25">
      <c r="A59" s="15" t="s">
        <v>17</v>
      </c>
      <c r="B59" s="9" t="e">
        <f>COUNTIF('[5]HIPO - ATIVAS'!A:A,DADOS!A59)</f>
        <v>#VALUE!</v>
      </c>
    </row>
    <row r="60" spans="1:2" ht="18.75" customHeight="1" x14ac:dyDescent="0.25">
      <c r="A60" s="15" t="s">
        <v>24</v>
      </c>
      <c r="B60" s="9" t="e">
        <f>COUNTIF('[5]HIPO - ATIVAS'!A:A,DADOS!A60)</f>
        <v>#VALUE!</v>
      </c>
    </row>
    <row r="61" spans="1:2" ht="18.75" customHeight="1" x14ac:dyDescent="0.25">
      <c r="A61" s="15" t="s">
        <v>26</v>
      </c>
      <c r="B61" s="9" t="e">
        <f>COUNTIF('[5]HIPO - ATIVAS'!A:A,DADOS!A61)</f>
        <v>#VALUE!</v>
      </c>
    </row>
    <row r="62" spans="1:2" ht="18.75" customHeight="1" x14ac:dyDescent="0.25">
      <c r="A62" s="16" t="s">
        <v>18</v>
      </c>
      <c r="B62" s="5" t="e">
        <f>SUM(B51:B61)</f>
        <v>#VALUE!</v>
      </c>
    </row>
    <row r="63" spans="1:2" ht="18.75" customHeight="1" x14ac:dyDescent="0.25"/>
    <row r="64" spans="1:2" ht="18.75" customHeight="1" x14ac:dyDescent="0.25"/>
    <row r="65" spans="1:2" ht="18.75" customHeight="1" x14ac:dyDescent="0.25">
      <c r="A65" s="19" t="s">
        <v>25</v>
      </c>
      <c r="B65" s="20"/>
    </row>
    <row r="66" spans="1:2" ht="18.75" customHeight="1" x14ac:dyDescent="0.25">
      <c r="A66" s="6" t="s">
        <v>1</v>
      </c>
      <c r="B66" s="7"/>
    </row>
    <row r="67" spans="1:2" ht="18.75" customHeight="1" x14ac:dyDescent="0.25">
      <c r="A67" s="8" t="s">
        <v>3</v>
      </c>
      <c r="B67" s="9" t="e">
        <f>COUNTIF('[3]SEC - PASSIVAS'!A:A,DADOS!A67)</f>
        <v>#VALUE!</v>
      </c>
    </row>
    <row r="68" spans="1:2" ht="18.75" customHeight="1" x14ac:dyDescent="0.25">
      <c r="A68" s="12" t="s">
        <v>5</v>
      </c>
      <c r="B68" s="9" t="e">
        <f>COUNTIF('[3]SEC - PASSIVAS'!A:A,DADOS!A68)</f>
        <v>#VALUE!</v>
      </c>
    </row>
    <row r="69" spans="1:2" ht="18.75" customHeight="1" x14ac:dyDescent="0.25">
      <c r="A69" s="12" t="s">
        <v>7</v>
      </c>
      <c r="B69" s="9" t="e">
        <f>COUNTIF('[3]SEC - PASSIVAS'!A:A,DADOS!A69)</f>
        <v>#VALUE!</v>
      </c>
    </row>
    <row r="70" spans="1:2" ht="18.75" customHeight="1" x14ac:dyDescent="0.25">
      <c r="A70" s="12" t="s">
        <v>9</v>
      </c>
      <c r="B70" s="9" t="e">
        <f>COUNTIF('[3]SEC - PASSIVAS'!A:A,DADOS!A70)</f>
        <v>#VALUE!</v>
      </c>
    </row>
    <row r="71" spans="1:2" ht="18.75" customHeight="1" x14ac:dyDescent="0.25">
      <c r="A71" s="12" t="s">
        <v>11</v>
      </c>
      <c r="B71" s="9" t="e">
        <f>COUNTIF('[3]SEC - PASSIVAS'!A:A,DADOS!A71)</f>
        <v>#VALUE!</v>
      </c>
    </row>
    <row r="72" spans="1:2" ht="18.75" customHeight="1" x14ac:dyDescent="0.25">
      <c r="A72" s="12" t="s">
        <v>13</v>
      </c>
      <c r="B72" s="9" t="e">
        <f>COUNTIF('[3]SEC - PASSIVAS'!A:A,DADOS!A72)</f>
        <v>#VALUE!</v>
      </c>
    </row>
    <row r="73" spans="1:2" ht="18.75" customHeight="1" x14ac:dyDescent="0.25">
      <c r="A73" s="14" t="s">
        <v>27</v>
      </c>
      <c r="B73" s="9" t="e">
        <f>COUNTIF('[3]SEC - PASSIVAS'!A:A,DADOS!A73)</f>
        <v>#VALUE!</v>
      </c>
    </row>
    <row r="74" spans="1:2" ht="18.75" customHeight="1" x14ac:dyDescent="0.25">
      <c r="A74" s="12" t="s">
        <v>16</v>
      </c>
      <c r="B74" s="9" t="e">
        <f>COUNTIF('[3]SEC - PASSIVAS'!A:A,DADOS!A74)</f>
        <v>#VALUE!</v>
      </c>
    </row>
    <row r="75" spans="1:2" ht="18.75" customHeight="1" x14ac:dyDescent="0.25">
      <c r="A75" s="15" t="s">
        <v>17</v>
      </c>
      <c r="B75" s="9" t="e">
        <f>COUNTIF('[3]SEC - PASSIVAS'!A:A,DADOS!A75)</f>
        <v>#VALUE!</v>
      </c>
    </row>
    <row r="76" spans="1:2" ht="18.75" customHeight="1" x14ac:dyDescent="0.25">
      <c r="A76" s="15" t="s">
        <v>24</v>
      </c>
      <c r="B76" s="9" t="e">
        <f>COUNTIF('[3]SEC - PASSIVAS'!A:A,DADOS!A76)</f>
        <v>#VALUE!</v>
      </c>
    </row>
    <row r="77" spans="1:2" ht="18.75" customHeight="1" x14ac:dyDescent="0.25">
      <c r="A77" s="15" t="s">
        <v>26</v>
      </c>
      <c r="B77" s="9" t="e">
        <f>COUNTIF('[3]SEC - PASSIVAS'!A:A,DADOS!A77)</f>
        <v>#VALUE!</v>
      </c>
    </row>
    <row r="78" spans="1:2" ht="18.75" customHeight="1" x14ac:dyDescent="0.25">
      <c r="A78" s="16" t="s">
        <v>18</v>
      </c>
      <c r="B78" s="5" t="e">
        <f>SUM(B67:B77)</f>
        <v>#VALUE!</v>
      </c>
    </row>
    <row r="79" spans="1:2" ht="18.75" customHeight="1" x14ac:dyDescent="0.25"/>
    <row r="80" spans="1:2" ht="18.75" customHeight="1" x14ac:dyDescent="0.25"/>
    <row r="81" spans="1:2" ht="18.75" customHeight="1" x14ac:dyDescent="0.25">
      <c r="A81" s="19" t="s">
        <v>23</v>
      </c>
      <c r="B81" s="20"/>
    </row>
    <row r="82" spans="1:2" ht="18.75" customHeight="1" x14ac:dyDescent="0.25">
      <c r="A82" s="6" t="s">
        <v>1</v>
      </c>
      <c r="B82" s="7"/>
    </row>
    <row r="83" spans="1:2" ht="18.75" customHeight="1" x14ac:dyDescent="0.25">
      <c r="A83" s="8" t="s">
        <v>3</v>
      </c>
      <c r="B83" s="9" t="e">
        <f>COUNTIF('[6]SEC - ATIVAS'!$A:A,DADOS!A83)</f>
        <v>#VALUE!</v>
      </c>
    </row>
    <row r="84" spans="1:2" ht="18.75" customHeight="1" x14ac:dyDescent="0.25">
      <c r="A84" s="12" t="s">
        <v>5</v>
      </c>
      <c r="B84" s="9" t="e">
        <f>COUNTIF('[6]SEC - ATIVAS'!$A:A,DADOS!A84)</f>
        <v>#VALUE!</v>
      </c>
    </row>
    <row r="85" spans="1:2" x14ac:dyDescent="0.25">
      <c r="A85" s="12" t="s">
        <v>7</v>
      </c>
      <c r="B85" s="9" t="e">
        <f>COUNTIF('[6]SEC - ATIVAS'!$A:A,DADOS!A85)</f>
        <v>#VALUE!</v>
      </c>
    </row>
    <row r="86" spans="1:2" x14ac:dyDescent="0.25">
      <c r="A86" s="12" t="s">
        <v>9</v>
      </c>
      <c r="B86" s="9" t="e">
        <f>COUNTIF('[6]SEC - ATIVAS'!$A:A,DADOS!A86)</f>
        <v>#VALUE!</v>
      </c>
    </row>
    <row r="87" spans="1:2" x14ac:dyDescent="0.25">
      <c r="A87" s="12" t="s">
        <v>11</v>
      </c>
      <c r="B87" s="9" t="e">
        <f>COUNTIF('[6]SEC - ATIVAS'!$A:A,DADOS!A87)</f>
        <v>#VALUE!</v>
      </c>
    </row>
    <row r="88" spans="1:2" x14ac:dyDescent="0.25">
      <c r="A88" s="12" t="s">
        <v>13</v>
      </c>
      <c r="B88" s="9" t="e">
        <f>COUNTIF('[6]SEC - ATIVAS'!$A:A,DADOS!A88)</f>
        <v>#VALUE!</v>
      </c>
    </row>
    <row r="89" spans="1:2" x14ac:dyDescent="0.25">
      <c r="A89" s="14" t="s">
        <v>27</v>
      </c>
      <c r="B89" s="9" t="e">
        <f>COUNTIF('[6]SEC - ATIVAS'!$A:A,DADOS!A89)</f>
        <v>#VALUE!</v>
      </c>
    </row>
    <row r="90" spans="1:2" x14ac:dyDescent="0.25">
      <c r="A90" s="12" t="s">
        <v>16</v>
      </c>
      <c r="B90" s="9" t="e">
        <f>COUNTIF('[6]SEC - ATIVAS'!$A:A,DADOS!A90)</f>
        <v>#VALUE!</v>
      </c>
    </row>
    <row r="91" spans="1:2" x14ac:dyDescent="0.25">
      <c r="A91" s="15" t="s">
        <v>17</v>
      </c>
      <c r="B91" s="9" t="e">
        <f>COUNTIF('[6]SEC - ATIVAS'!$A:A,DADOS!A91)</f>
        <v>#VALUE!</v>
      </c>
    </row>
    <row r="92" spans="1:2" x14ac:dyDescent="0.25">
      <c r="A92" s="15" t="s">
        <v>24</v>
      </c>
      <c r="B92" s="9" t="e">
        <f>COUNTIF('[6]SEC - ATIVAS'!$A:A,DADOS!A92)</f>
        <v>#VALUE!</v>
      </c>
    </row>
    <row r="93" spans="1:2" x14ac:dyDescent="0.25">
      <c r="A93" s="15" t="s">
        <v>26</v>
      </c>
      <c r="B93" s="9" t="e">
        <f>COUNTIF('[6]SEC - ATIVAS'!$A:A,DADOS!A93)</f>
        <v>#VALUE!</v>
      </c>
    </row>
    <row r="94" spans="1:2" x14ac:dyDescent="0.25">
      <c r="A94" s="16" t="s">
        <v>18</v>
      </c>
      <c r="B94" s="5" t="e">
        <f>SUM(B84:B92)</f>
        <v>#VALUE!</v>
      </c>
    </row>
  </sheetData>
  <mergeCells count="8">
    <mergeCell ref="A65:B65"/>
    <mergeCell ref="A81:B81"/>
    <mergeCell ref="A2:B2"/>
    <mergeCell ref="K3:L3"/>
    <mergeCell ref="K17:L17"/>
    <mergeCell ref="A17:B17"/>
    <mergeCell ref="A33:B33"/>
    <mergeCell ref="A49:B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 Juridico</cp:lastModifiedBy>
  <dcterms:created xsi:type="dcterms:W3CDTF">2026-03-10T11:46:47Z</dcterms:created>
  <dcterms:modified xsi:type="dcterms:W3CDTF">2026-04-09T12:46:29Z</dcterms:modified>
</cp:coreProperties>
</file>